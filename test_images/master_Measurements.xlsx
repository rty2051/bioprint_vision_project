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metheus\Downloads\bioprint_vision_project\images\gel_ruler_trial2\"/>
    </mc:Choice>
  </mc:AlternateContent>
  <xr:revisionPtr revIDLastSave="0" documentId="8_{C3AC5C93-DD1A-4A81-9305-F815B82CBD36}" xr6:coauthVersionLast="47" xr6:coauthVersionMax="47" xr10:uidLastSave="{00000000-0000-0000-0000-000000000000}"/>
  <bookViews>
    <workbookView xWindow="14295" yWindow="0" windowWidth="14610" windowHeight="15585" activeTab="2" xr2:uid="{A9086178-1D38-470A-A218-4CC0C2F9B1E4}"/>
  </bookViews>
  <sheets>
    <sheet name="gel_ruler_trial2" sheetId="1" r:id="rId1"/>
    <sheet name="A5C5 uniform" sheetId="2" r:id="rId2"/>
    <sheet name="A5C5 scaffold2" sheetId="3" r:id="rId3"/>
  </sheets>
  <calcPr calcId="0"/>
</workbook>
</file>

<file path=xl/calcChain.xml><?xml version="1.0" encoding="utf-8"?>
<calcChain xmlns="http://schemas.openxmlformats.org/spreadsheetml/2006/main">
  <c r="D10" i="3" l="1"/>
  <c r="E10" i="3" s="1"/>
  <c r="D9" i="3"/>
  <c r="E9" i="3" s="1"/>
  <c r="D8" i="3"/>
  <c r="E8" i="3" s="1"/>
  <c r="D7" i="3"/>
  <c r="E7" i="3" s="1"/>
  <c r="D6" i="3"/>
  <c r="E6" i="3" s="1"/>
  <c r="D5" i="3"/>
  <c r="E5" i="3" s="1"/>
  <c r="D4" i="3"/>
  <c r="E4" i="3" s="1"/>
  <c r="D3" i="3"/>
  <c r="E3" i="3" s="1"/>
  <c r="D2" i="3"/>
  <c r="E2" i="3" s="1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2" i="2"/>
  <c r="E2" i="2" s="1"/>
</calcChain>
</file>

<file path=xl/sharedStrings.xml><?xml version="1.0" encoding="utf-8"?>
<sst xmlns="http://schemas.openxmlformats.org/spreadsheetml/2006/main" count="15" uniqueCount="5">
  <si>
    <t xml:space="preserve"> </t>
  </si>
  <si>
    <t>ImageJ Area (mm)</t>
  </si>
  <si>
    <t>Algo Area (mm)</t>
  </si>
  <si>
    <t>Absolute Difference</t>
  </si>
  <si>
    <t>Percentage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</si>
</sst>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743E-0C65-4062-A2D9-EAA8B519E2E0}">
  <dimension ref="A1:E10"/>
  <sheetViews>
    <sheetView workbookViewId="0">
      <selection activeCell="F3" sqref="F3"/>
    </sheetView>
  </sheetViews>
  <sheetFormatPr defaultRowHeight="15" x14ac:dyDescent="0.25"/>
  <cols>
    <col min="1" max="1" width="2" bestFit="1" customWidth="1"/>
    <col min="2" max="2" width="17" bestFit="1" customWidth="1"/>
    <col min="3" max="3" width="14.7109375" bestFit="1" customWidth="1"/>
    <col min="4" max="4" width="18.28515625" bestFit="1" customWidth="1"/>
    <col min="5" max="5" width="2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5.3739999999999997</v>
      </c>
      <c r="C2">
        <v>5.13</v>
      </c>
      <c r="D2">
        <v>0.24</v>
      </c>
      <c r="E2" s="1">
        <v>4.5400000000000003E-2</v>
      </c>
    </row>
    <row r="3" spans="1:5" x14ac:dyDescent="0.25">
      <c r="A3">
        <v>2</v>
      </c>
      <c r="B3">
        <v>5.7910000000000004</v>
      </c>
      <c r="C3">
        <v>3.91</v>
      </c>
      <c r="D3">
        <v>1.88</v>
      </c>
      <c r="E3" s="1">
        <v>0.32479999999999998</v>
      </c>
    </row>
    <row r="4" spans="1:5" x14ac:dyDescent="0.25">
      <c r="A4">
        <v>3</v>
      </c>
      <c r="B4">
        <v>5.2130000000000001</v>
      </c>
      <c r="C4">
        <v>5</v>
      </c>
      <c r="D4">
        <v>0.21</v>
      </c>
      <c r="E4" s="1">
        <v>4.0899999999999999E-2</v>
      </c>
    </row>
    <row r="5" spans="1:5" x14ac:dyDescent="0.25">
      <c r="A5">
        <v>4</v>
      </c>
      <c r="B5">
        <v>6.2809999999999997</v>
      </c>
      <c r="C5">
        <v>5.8</v>
      </c>
      <c r="D5">
        <v>0.48</v>
      </c>
      <c r="E5" s="1">
        <v>7.6600000000000001E-2</v>
      </c>
    </row>
    <row r="6" spans="1:5" x14ac:dyDescent="0.25">
      <c r="A6">
        <v>5</v>
      </c>
      <c r="B6">
        <v>5.8570000000000002</v>
      </c>
      <c r="C6">
        <v>3.54</v>
      </c>
      <c r="D6">
        <v>2.3199999999999998</v>
      </c>
      <c r="E6" s="1">
        <v>0.39560000000000001</v>
      </c>
    </row>
    <row r="7" spans="1:5" x14ac:dyDescent="0.25">
      <c r="A7">
        <v>6</v>
      </c>
      <c r="B7">
        <v>6.2789999999999999</v>
      </c>
      <c r="C7">
        <v>5.95</v>
      </c>
      <c r="D7">
        <v>0.33</v>
      </c>
      <c r="E7" s="1">
        <v>5.2400000000000002E-2</v>
      </c>
    </row>
    <row r="8" spans="1:5" x14ac:dyDescent="0.25">
      <c r="A8">
        <v>7</v>
      </c>
      <c r="B8">
        <v>5.8659999999999997</v>
      </c>
      <c r="C8">
        <v>5.59</v>
      </c>
      <c r="D8">
        <v>0.28000000000000003</v>
      </c>
      <c r="E8" s="1">
        <v>4.7100000000000003E-2</v>
      </c>
    </row>
    <row r="9" spans="1:5" x14ac:dyDescent="0.25">
      <c r="A9">
        <v>8</v>
      </c>
      <c r="B9">
        <v>6.5890000000000004</v>
      </c>
      <c r="C9">
        <v>3.86</v>
      </c>
      <c r="D9">
        <v>2.73</v>
      </c>
      <c r="E9" s="1">
        <v>0.41420000000000001</v>
      </c>
    </row>
    <row r="10" spans="1:5" x14ac:dyDescent="0.25">
      <c r="A10">
        <v>9</v>
      </c>
      <c r="B10">
        <v>6.6980000000000004</v>
      </c>
      <c r="C10">
        <v>7.2</v>
      </c>
      <c r="D10">
        <v>0.5</v>
      </c>
      <c r="E10" s="1">
        <v>7.4899999999999994E-2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052B-E4FE-4A8D-B4B8-7B61F7AB7993}">
  <dimension ref="A1:E10"/>
  <sheetViews>
    <sheetView workbookViewId="0">
      <selection activeCell="E10" sqref="A1:E10"/>
    </sheetView>
  </sheetViews>
  <sheetFormatPr defaultRowHeight="15" x14ac:dyDescent="0.25"/>
  <cols>
    <col min="1" max="1" width="2" bestFit="1" customWidth="1"/>
    <col min="2" max="2" width="17" bestFit="1" customWidth="1"/>
    <col min="3" max="3" width="14.7109375" bestFit="1" customWidth="1"/>
    <col min="4" max="4" width="18.28515625" bestFit="1" customWidth="1"/>
    <col min="5" max="5" width="2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1.3360000000000001</v>
      </c>
      <c r="C2">
        <v>1.37</v>
      </c>
      <c r="D2">
        <f>ABS(B2-C2)</f>
        <v>3.400000000000003E-2</v>
      </c>
      <c r="E2" s="1">
        <f>D2 / B2</f>
        <v>2.5449101796407206E-2</v>
      </c>
    </row>
    <row r="3" spans="1:5" x14ac:dyDescent="0.25">
      <c r="A3">
        <v>2</v>
      </c>
      <c r="B3">
        <v>3.4790000000000001</v>
      </c>
      <c r="C3">
        <v>3.22</v>
      </c>
      <c r="D3">
        <f t="shared" ref="D3:D10" si="0">ABS(B3-C3)</f>
        <v>0.2589999999999999</v>
      </c>
      <c r="E3" s="1">
        <f t="shared" ref="E3:E10" si="1">D3 / B3</f>
        <v>7.4446680080482872E-2</v>
      </c>
    </row>
    <row r="4" spans="1:5" x14ac:dyDescent="0.25">
      <c r="A4">
        <v>3</v>
      </c>
      <c r="B4">
        <v>2.9750000000000001</v>
      </c>
      <c r="C4">
        <v>3.18</v>
      </c>
      <c r="D4">
        <f t="shared" si="0"/>
        <v>0.20500000000000007</v>
      </c>
      <c r="E4" s="1">
        <f t="shared" si="1"/>
        <v>6.8907563025210103E-2</v>
      </c>
    </row>
    <row r="5" spans="1:5" x14ac:dyDescent="0.25">
      <c r="A5">
        <v>4</v>
      </c>
      <c r="B5">
        <v>3.8119999999999998</v>
      </c>
      <c r="C5">
        <v>4.17</v>
      </c>
      <c r="D5">
        <f t="shared" si="0"/>
        <v>0.3580000000000001</v>
      </c>
      <c r="E5" s="1">
        <f t="shared" si="1"/>
        <v>9.3913955928646403E-2</v>
      </c>
    </row>
    <row r="6" spans="1:5" x14ac:dyDescent="0.25">
      <c r="A6">
        <v>5</v>
      </c>
      <c r="B6">
        <v>4.74</v>
      </c>
      <c r="C6">
        <v>4.33</v>
      </c>
      <c r="D6">
        <f t="shared" si="0"/>
        <v>0.41000000000000014</v>
      </c>
      <c r="E6" s="1">
        <f t="shared" si="1"/>
        <v>8.6497890295358676E-2</v>
      </c>
    </row>
    <row r="7" spans="1:5" x14ac:dyDescent="0.25">
      <c r="A7">
        <v>6</v>
      </c>
      <c r="B7">
        <v>3.4049999999999998</v>
      </c>
      <c r="C7">
        <v>3.82</v>
      </c>
      <c r="D7">
        <f t="shared" si="0"/>
        <v>0.41500000000000004</v>
      </c>
      <c r="E7" s="1">
        <f t="shared" si="1"/>
        <v>0.12187958883994128</v>
      </c>
    </row>
    <row r="8" spans="1:5" x14ac:dyDescent="0.25">
      <c r="A8">
        <v>7</v>
      </c>
      <c r="B8">
        <v>2.4369999999999998</v>
      </c>
      <c r="C8">
        <v>3.08</v>
      </c>
      <c r="D8">
        <f t="shared" si="0"/>
        <v>0.64300000000000024</v>
      </c>
      <c r="E8" s="1">
        <f t="shared" si="1"/>
        <v>0.26384899466557254</v>
      </c>
    </row>
    <row r="9" spans="1:5" x14ac:dyDescent="0.25">
      <c r="A9">
        <v>8</v>
      </c>
      <c r="B9">
        <v>3.9820000000000002</v>
      </c>
      <c r="C9">
        <v>4</v>
      </c>
      <c r="D9">
        <f t="shared" si="0"/>
        <v>1.7999999999999794E-2</v>
      </c>
      <c r="E9" s="1">
        <f t="shared" si="1"/>
        <v>4.5203415369160704E-3</v>
      </c>
    </row>
    <row r="10" spans="1:5" x14ac:dyDescent="0.25">
      <c r="A10">
        <v>9</v>
      </c>
      <c r="B10">
        <v>3.4220000000000002</v>
      </c>
      <c r="C10">
        <v>3.97</v>
      </c>
      <c r="D10">
        <f t="shared" si="0"/>
        <v>0.54800000000000004</v>
      </c>
      <c r="E10" s="1">
        <f t="shared" si="1"/>
        <v>0.16014026884862653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AE8E-9E50-4390-AC39-269794101CAC}">
  <dimension ref="A1:E10"/>
  <sheetViews>
    <sheetView tabSelected="1" workbookViewId="0">
      <selection activeCell="F16" sqref="F16"/>
    </sheetView>
  </sheetViews>
  <sheetFormatPr defaultRowHeight="15" x14ac:dyDescent="0.25"/>
  <cols>
    <col min="1" max="1" width="2" bestFit="1" customWidth="1"/>
    <col min="2" max="2" width="17" bestFit="1" customWidth="1"/>
    <col min="3" max="3" width="14.7109375" bestFit="1" customWidth="1"/>
    <col min="4" max="4" width="18.28515625" bestFit="1" customWidth="1"/>
    <col min="5" max="5" width="2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2.2330000000000001</v>
      </c>
      <c r="C2">
        <v>2.65</v>
      </c>
      <c r="D2">
        <f>ABS(B2-C2)</f>
        <v>0.41699999999999982</v>
      </c>
      <c r="E2" s="1">
        <f>D2 / B2</f>
        <v>0.18674429019256597</v>
      </c>
    </row>
    <row r="3" spans="1:5" x14ac:dyDescent="0.25">
      <c r="A3">
        <v>2</v>
      </c>
      <c r="B3">
        <v>3.056</v>
      </c>
      <c r="C3">
        <v>2.98</v>
      </c>
      <c r="D3">
        <f t="shared" ref="D3:D10" si="0">ABS(B3-C3)</f>
        <v>7.6000000000000068E-2</v>
      </c>
      <c r="E3" s="1">
        <f t="shared" ref="E3:E10" si="1">D3 / B3</f>
        <v>2.4869109947644002E-2</v>
      </c>
    </row>
    <row r="4" spans="1:5" x14ac:dyDescent="0.25">
      <c r="A4">
        <v>3</v>
      </c>
      <c r="B4">
        <v>2.3860000000000001</v>
      </c>
      <c r="C4">
        <v>2.5299999999999998</v>
      </c>
      <c r="D4">
        <f t="shared" si="0"/>
        <v>0.14399999999999968</v>
      </c>
      <c r="E4" s="1">
        <f t="shared" si="1"/>
        <v>6.035205364626977E-2</v>
      </c>
    </row>
    <row r="5" spans="1:5" x14ac:dyDescent="0.25">
      <c r="A5">
        <v>4</v>
      </c>
      <c r="B5">
        <v>3.347</v>
      </c>
      <c r="C5">
        <v>3.73</v>
      </c>
      <c r="D5">
        <f t="shared" si="0"/>
        <v>0.38300000000000001</v>
      </c>
      <c r="E5" s="1">
        <f t="shared" si="1"/>
        <v>0.11443083358231253</v>
      </c>
    </row>
    <row r="6" spans="1:5" x14ac:dyDescent="0.25">
      <c r="A6">
        <v>5</v>
      </c>
      <c r="B6">
        <v>3.7160000000000002</v>
      </c>
      <c r="C6">
        <v>4.08</v>
      </c>
      <c r="D6">
        <f t="shared" si="0"/>
        <v>0.36399999999999988</v>
      </c>
      <c r="E6" s="1">
        <f t="shared" si="1"/>
        <v>9.7954790096878325E-2</v>
      </c>
    </row>
    <row r="7" spans="1:5" x14ac:dyDescent="0.25">
      <c r="A7">
        <v>6</v>
      </c>
      <c r="B7">
        <v>2.8359999999999999</v>
      </c>
      <c r="C7">
        <v>3.02</v>
      </c>
      <c r="D7">
        <f t="shared" si="0"/>
        <v>0.18400000000000016</v>
      </c>
      <c r="E7" s="1">
        <f t="shared" si="1"/>
        <v>6.4880112834978909E-2</v>
      </c>
    </row>
    <row r="8" spans="1:5" x14ac:dyDescent="0.25">
      <c r="A8">
        <v>7</v>
      </c>
      <c r="B8">
        <v>2.4630000000000001</v>
      </c>
      <c r="C8">
        <v>2.64</v>
      </c>
      <c r="D8">
        <f t="shared" si="0"/>
        <v>0.17700000000000005</v>
      </c>
      <c r="E8" s="1">
        <f t="shared" si="1"/>
        <v>7.1863580998781984E-2</v>
      </c>
    </row>
    <row r="9" spans="1:5" x14ac:dyDescent="0.25">
      <c r="A9">
        <v>8</v>
      </c>
      <c r="B9">
        <v>3.1459999999999999</v>
      </c>
      <c r="C9">
        <v>3.64</v>
      </c>
      <c r="D9">
        <f t="shared" si="0"/>
        <v>0.49400000000000022</v>
      </c>
      <c r="E9" s="1">
        <f t="shared" si="1"/>
        <v>0.15702479338842981</v>
      </c>
    </row>
    <row r="10" spans="1:5" x14ac:dyDescent="0.25">
      <c r="A10">
        <v>9</v>
      </c>
      <c r="B10">
        <v>2.931</v>
      </c>
      <c r="C10">
        <v>3.23</v>
      </c>
      <c r="D10">
        <f t="shared" si="0"/>
        <v>0.29899999999999993</v>
      </c>
      <c r="E10" s="1">
        <f t="shared" si="1"/>
        <v>0.10201296485841008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gel_ruler_trial2</vt:lpstr>
      <vt:lpstr>A5C5 uniform</vt:lpstr>
      <vt:lpstr>A5C5 scaffold2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Yam (RIT Student)</cp:lastModifiedBy>
  <dcterms:created xsi:type="dcterms:W3CDTF">2026-04-21T07:03:09Z</dcterms:created>
  <dcterms:modified xsi:type="dcterms:W3CDTF">2026-04-21T07:03:09Z</dcterms:modified>
</cp:coreProperties>
</file>